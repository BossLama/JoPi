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Jonas Riemer\Downloads\"/>
    </mc:Choice>
  </mc:AlternateContent>
  <xr:revisionPtr revIDLastSave="0" documentId="13_ncr:1_{A065FB63-BC12-4928-9E75-0D8CA8F15E7D}" xr6:coauthVersionLast="47" xr6:coauthVersionMax="47" xr10:uidLastSave="{00000000-0000-0000-0000-000000000000}"/>
  <bookViews>
    <workbookView xWindow="-120" yWindow="-120" windowWidth="29040" windowHeight="15840" xr2:uid="{A440F962-CFA0-4293-B53C-1179E8EA0394}"/>
  </bookViews>
  <sheets>
    <sheet name="Minimakros" sheetId="1" r:id="rId1"/>
    <sheet name="EntwicklerInnen" sheetId="2" r:id="rId2"/>
    <sheet name="Einstellungen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" l="1"/>
  <c r="C2" i="3" a="1"/>
  <c r="E2" i="2" a="1"/>
  <c r="E2" i="2" l="1"/>
  <c r="C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<sst xmlns="http://schemas.openxmlformats.org/spreadsheetml/2006/main" count="33" uniqueCount="30">
  <si>
    <t>MMID</t>
  </si>
  <si>
    <t>Makroname</t>
  </si>
  <si>
    <t>Datentyp</t>
  </si>
  <si>
    <t>Verantwortliche:r</t>
  </si>
  <si>
    <t>Referat</t>
  </si>
  <si>
    <t>Signiert am</t>
  </si>
  <si>
    <t>SCTASK</t>
  </si>
  <si>
    <t>Ablagepfad</t>
  </si>
  <si>
    <t>Vorherige Version</t>
  </si>
  <si>
    <t>Notiz</t>
  </si>
  <si>
    <t>Bearbeiter:in</t>
  </si>
  <si>
    <t>ServiceNow-ID</t>
  </si>
  <si>
    <t>Anzeigename</t>
  </si>
  <si>
    <t>E-Mail</t>
  </si>
  <si>
    <t>Anzahl der Makros</t>
  </si>
  <si>
    <t>Aktueller Benutzer</t>
  </si>
  <si>
    <t>Ablageordner</t>
  </si>
  <si>
    <t>Referate</t>
  </si>
  <si>
    <t>AWM, BAU, DIR, GSR, IBS, ITM, KM, KOM, KULT, KVR, KVR_BD, LHM-S, MKS, MOR, MSE, PLA, POR, RBS, REV, RGU, RIT, RKU, SKA, SOZ</t>
  </si>
  <si>
    <t>jonas.riemer</t>
  </si>
  <si>
    <t>Jonas riemer</t>
  </si>
  <si>
    <t>jonas.riemer@muenchen.de</t>
  </si>
  <si>
    <t>ITM</t>
  </si>
  <si>
    <t>Jonas Riemer</t>
  </si>
  <si>
    <t>C:\Users\Jonas Riemer\Downloads\Test</t>
  </si>
  <si>
    <t>Testmakros v2</t>
  </si>
  <si>
    <t>Reviewer-Notes</t>
  </si>
  <si>
    <t>Reviewer-Note</t>
  </si>
  <si>
    <t>Class1-Fehler - Keine Signierung erfolgt; Verantwortliche:r nicht mehr vorhanden; Makro per E-Mail versendet</t>
  </si>
  <si>
    <t>Class1-Fehler - Keine Signierung erfolgt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</si>
</sst>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/>
    <xf numFmtId="0" fontId="1" fillId="0" borderId="0" xfId="1"/>
    <xf numFmtId="0" fontId="0" fillId="2" borderId="1" xfId="0" applyFill="1" applyBorder="1" applyAlignment="1">
      <alignment horizontal="left"/>
    </xf>
    <xf numFmtId="0" fontId="2" fillId="0" borderId="0" xfId="0" applyFont="1"/>
  </cellXfs>
  <cellStyles count="2">
    <cellStyle name="Link" xfId="1" builtinId="8"/>
    <cellStyle name="Standard" xfId="0" builtinId="0"/>
  </cellStyles>
  <dxfs count="8">
    <dxf>
      <font>
        <b val="0"/>
        <i val="0"/>
        <strike/>
        <color theme="0"/>
      </font>
      <fill>
        <patternFill>
          <bgColor rgb="FFC00000"/>
        </patternFill>
      </fill>
    </dxf>
    <dxf>
      <font>
        <color theme="9"/>
      </font>
    </dxf>
    <dxf>
      <numFmt numFmtId="0" formatCode="General"/>
      <fill>
        <patternFill patternType="lightDown">
          <bgColor rgb="FFFFC000"/>
        </patternFill>
      </fill>
    </dxf>
    <dxf>
      <font>
        <strike val="0"/>
        <outline val="0"/>
        <shadow val="0"/>
        <u val="none"/>
        <vertAlign val="baseline"/>
        <sz val="11"/>
        <color theme="0" tint="-0.499984740745262"/>
        <name val="Aptos Narrow"/>
        <family val="2"/>
        <scheme val="minor"/>
      </font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07450E-0D51-45AF-9D31-76457B19CA26}" name="Tabelle1" displayName="Tabelle1" ref="A1:L2" totalsRowShown="0">
  <autoFilter ref="A1:L2" xr:uid="{F407450E-0D51-45AF-9D31-76457B19CA26}"/>
  <tableColumns count="12">
    <tableColumn id="1" xr3:uid="{2033282C-0001-4623-BC9D-38F5AF829236}" name="MMID" dataDxfId="7"/>
    <tableColumn id="2" xr3:uid="{E24D3AB2-84D1-460C-B313-22023E0497AA}" name="Makroname"/>
    <tableColumn id="3" xr3:uid="{EF8C8E13-A6F3-4489-BFF8-39A5124FD262}" name="Datentyp"/>
    <tableColumn id="4" xr3:uid="{3CD92F81-BB07-43D4-A842-5EF0DA80754D}" name="Verantwortliche:r"/>
    <tableColumn id="5" xr3:uid="{FFA9DEF2-381F-4619-A6B0-07309B41D019}" name="Referat"/>
    <tableColumn id="6" xr3:uid="{8ED90414-1586-4AEC-A255-00D19A4D11FD}" name="Signiert am"/>
    <tableColumn id="7" xr3:uid="{41EF6BF2-E178-48FB-A13D-52C0E30DB979}" name="SCTASK"/>
    <tableColumn id="8" xr3:uid="{F02E26FB-277A-4ECF-9F6D-B8C0D7F045D7}" name="Ablagepfad" dataDxfId="4">
      <calculatedColumnFormula>IF(Tabelle1[[#This Row],[SCTASK]]&lt;&gt;"",HYPERLINK(_xlfn.CONCAT(Einstellungen!$C$3,"\",Tabelle1[[#This Row],[Referat]],"\",Tabelle1[[#This Row],[SCTASK]]), _xlfn.CONCAT(Einstellungen!$C$3,"\",Tabelle1[[#This Row],[Referat]],"\",Tabelle1[[#This Row],[SCTASK]])),"")</calculatedColumnFormula>
    </tableColumn>
    <tableColumn id="9" xr3:uid="{44526BC5-98D2-401F-A0F8-3767EDEB313C}" name="Vorherige Version"/>
    <tableColumn id="10" xr3:uid="{3F6D328C-BE01-4436-8946-F72C25C15744}" name="Notiz"/>
    <tableColumn id="11" xr3:uid="{BC4ADDAF-3493-41E9-B296-28930AA7B412}" name="Bearbeiter:in" dataDxfId="3"/>
    <tableColumn id="12" xr3:uid="{56654EC9-6CDB-4B53-AF30-33E34EEE7CFD}" name="Reviewer-Note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36321F5-84B2-4103-896A-58D377A88DB5}" name="Tabelle2" displayName="Tabelle2" ref="A1:E2" totalsRowShown="0">
  <autoFilter ref="A1:E2" xr:uid="{636321F5-84B2-4103-896A-58D377A88DB5}"/>
  <tableColumns count="5">
    <tableColumn id="1" xr3:uid="{59ED07E3-ACCA-43A0-A841-BE5580A4AF9F}" name="ServiceNow-ID"/>
    <tableColumn id="2" xr3:uid="{1BB493C1-2902-4AC0-9DFE-DDC3578CCE77}" name="Anzeigename"/>
    <tableColumn id="3" xr3:uid="{64264CD2-45E6-4FAA-9D4F-64BE47710CE1}" name="E-Mail"/>
    <tableColumn id="4" xr3:uid="{D822B19E-C52C-4A10-B312-612A1F1BEA96}" name="Referat" dataDxfId="6"/>
    <tableColumn id="5" xr3:uid="{15FFCB95-DF5B-4F48-9997-F79213BB10AD}" name="Anzahl der Makros" dataDxfId="5">
      <calculatedColumnFormula array="1">CountMacrosByDeveloper(Tabelle2[[#This Row],[ServiceNow-ID]])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F9095-42DE-49F7-A205-10DBE5D0E760}">
  <sheetPr codeName="Tabelle1"/>
  <dimension ref="A1:L2"/>
  <sheetViews>
    <sheetView tabSelected="1" workbookViewId="0">
      <selection activeCell="D28" sqref="D28"/>
    </sheetView>
  </sheetViews>
  <sheetFormatPr baseColWidth="10" defaultRowHeight="15" x14ac:dyDescent="0.25"/>
  <cols>
    <col min="2" max="2" width="36.5703125" customWidth="1"/>
    <col min="4" max="4" width="21.5703125" customWidth="1"/>
    <col min="6" max="6" width="13" customWidth="1"/>
    <col min="7" max="7" width="18.140625" customWidth="1"/>
    <col min="8" max="8" width="53.5703125" customWidth="1"/>
    <col min="9" max="9" width="18.7109375" customWidth="1"/>
    <col min="10" max="10" width="18.85546875" customWidth="1"/>
    <col min="11" max="11" width="24.42578125" customWidth="1"/>
    <col min="12" max="12" width="36.5703125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27</v>
      </c>
    </row>
    <row r="2" spans="1:12" x14ac:dyDescent="0.25">
      <c r="A2" s="1">
        <v>1</v>
      </c>
      <c r="B2" t="s">
        <v>25</v>
      </c>
      <c r="D2" s="3" t="s">
        <v>19</v>
      </c>
      <c r="E2" t="s">
        <v>22</v>
      </c>
      <c r="H2" t="str">
        <f>IF(Tabelle1[[#This Row],[SCTASK]]&lt;&gt;"",HYPERLINK(_xlfn.CONCAT(Einstellungen!$C$3,"\",Tabelle1[[#This Row],[Referat]],"\",Tabelle1[[#This Row],[SCTASK]]), _xlfn.CONCAT(Einstellungen!$C$3,"\",Tabelle1[[#This Row],[Referat]],"\",Tabelle1[[#This Row],[SCTASK]])),"")</f>
        <v/>
      </c>
      <c r="K2" s="5" t="s">
        <v>23</v>
      </c>
      <c r="L2" t="s">
        <v>29</v>
      </c>
    </row>
  </sheetData>
  <conditionalFormatting sqref="B1:B1048576">
    <cfRule type="expression" dxfId="2" priority="1">
      <formula>AND(NOT(ISBLANK(I1)), ISERROR(MATCH(I1, A:A, 0)), ROW()&gt;1)</formula>
    </cfRule>
    <cfRule type="expression" dxfId="1" priority="2">
      <formula>AND(NOT(ISBLANK(I1)), ISNUMBER(MATCH(I1, A:A, 0)))</formula>
    </cfRule>
    <cfRule type="expression" dxfId="0" priority="3">
      <formula>AND(NOT(ISBLANK(A1)), ISNUMBER(MATCH(A1,I:I,0)))</formula>
    </cfRule>
  </conditionalFormatting>
  <hyperlinks>
    <hyperlink ref="D2" location="'EntwicklerInnen'!A2" display="jonas.riemer" xr:uid="{F59BE009-7164-4965-98DA-49C64EC0067F}"/>
  </hyperlinks>
  <pageMargins left="0.7" right="0.7" top="0.78740157499999996" bottom="0.78740157499999996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704F7-84F0-4F3A-935C-ED1EC02A8D8D}">
  <sheetPr codeName="Tabelle2"/>
  <dimension ref="A1:E2"/>
  <sheetViews>
    <sheetView workbookViewId="0">
      <selection activeCell="C16" sqref="C16"/>
    </sheetView>
  </sheetViews>
  <sheetFormatPr baseColWidth="10" defaultRowHeight="15" x14ac:dyDescent="0.25"/>
  <cols>
    <col min="1" max="1" width="16" customWidth="1"/>
    <col min="2" max="2" width="28.7109375" customWidth="1"/>
    <col min="3" max="3" width="31" customWidth="1"/>
    <col min="5" max="5" width="21.28515625" customWidth="1"/>
  </cols>
  <sheetData>
    <row r="1" spans="1:5" x14ac:dyDescent="0.25">
      <c r="A1" t="s">
        <v>11</v>
      </c>
      <c r="B1" t="s">
        <v>12</v>
      </c>
      <c r="C1" t="s">
        <v>13</v>
      </c>
      <c r="D1" t="s">
        <v>4</v>
      </c>
      <c r="E1" t="s">
        <v>14</v>
      </c>
    </row>
    <row r="2" spans="1:5" x14ac:dyDescent="0.25">
      <c r="A2" t="s">
        <v>19</v>
      </c>
      <c r="B2" t="s">
        <v>20</v>
      </c>
      <c r="C2" t="s">
        <v>21</v>
      </c>
      <c r="D2" s="1" t="s">
        <v>22</v>
      </c>
      <c r="E2" s="1" cm="1">
        <f t="array" aca="1" ref="E2" ca="1">CountMacrosByDeveloper(Tabelle2[[#This Row],[ServiceNow-ID]])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3534C-BFC7-49ED-92C3-B52FFA0B914D}">
  <sheetPr codeName="Tabelle3"/>
  <dimension ref="B1:C5"/>
  <sheetViews>
    <sheetView workbookViewId="0">
      <selection activeCell="C16" sqref="C16"/>
    </sheetView>
  </sheetViews>
  <sheetFormatPr baseColWidth="10" defaultRowHeight="15" x14ac:dyDescent="0.25"/>
  <cols>
    <col min="2" max="2" width="20.85546875" customWidth="1"/>
    <col min="3" max="3" width="116.140625" customWidth="1"/>
  </cols>
  <sheetData>
    <row r="1" spans="2:3" ht="15.75" thickBot="1" x14ac:dyDescent="0.3"/>
    <row r="2" spans="2:3" ht="15.75" thickBot="1" x14ac:dyDescent="0.3">
      <c r="B2" t="s">
        <v>15</v>
      </c>
      <c r="C2" s="4" t="str" cm="1">
        <f t="array" ref="C2">GetUsername()</f>
        <v>Jonas Riemer</v>
      </c>
    </row>
    <row r="3" spans="2:3" ht="15.75" thickBot="1" x14ac:dyDescent="0.3">
      <c r="B3" t="s">
        <v>16</v>
      </c>
      <c r="C3" s="2" t="s">
        <v>24</v>
      </c>
    </row>
    <row r="4" spans="2:3" ht="15.75" thickBot="1" x14ac:dyDescent="0.3">
      <c r="B4" t="s">
        <v>17</v>
      </c>
      <c r="C4" s="2" t="s">
        <v>18</v>
      </c>
    </row>
    <row r="5" spans="2:3" ht="15.75" thickBot="1" x14ac:dyDescent="0.3">
      <c r="B5" t="s">
        <v>26</v>
      </c>
      <c r="C5" s="2" t="s">
        <v>28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Minimakros</vt:lpstr>
      <vt:lpstr>EntwicklerInnen</vt:lpstr>
      <vt:lpstr>Einstellungen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Riemer, Jonas</dc:creator>
  <cp:lastModifiedBy>Riemer, Jonas</cp:lastModifiedBy>
  <dcterms:created xsi:type="dcterms:W3CDTF">2025-04-23T07:47:47Z</dcterms:created>
  <dcterms:modified xsi:type="dcterms:W3CDTF">2025-04-23T12:15:56Z</dcterms:modified>
</cp:coreProperties>
</file>